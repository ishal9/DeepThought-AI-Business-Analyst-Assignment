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BFD49BDD-E740-4A0B-B3AF-F71C9F5B80D4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ASK_TRACKER" sheetId="1" r:id="rId1"/>
    <sheet name="DASHBOARD" sheetId="2" r:id="rId2"/>
    <sheet name="DROPDOW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C2" i="2"/>
  <c r="A2" i="2"/>
  <c r="M4" i="1"/>
  <c r="N4" i="1"/>
  <c r="B6" i="2" s="1"/>
  <c r="M2" i="1"/>
  <c r="M3" i="1"/>
  <c r="N3" i="1"/>
  <c r="B5" i="2" s="1"/>
  <c r="N2" i="1"/>
  <c r="B2" i="2" l="1"/>
  <c r="B4" i="2"/>
</calcChain>
</file>

<file path=xl/sharedStrings.xml><?xml version="1.0" encoding="utf-8"?>
<sst xmlns="http://schemas.openxmlformats.org/spreadsheetml/2006/main" count="73" uniqueCount="59">
  <si>
    <t>Task ID</t>
  </si>
  <si>
    <t>Date Created</t>
  </si>
  <si>
    <t>Department</t>
  </si>
  <si>
    <t>Process Area</t>
  </si>
  <si>
    <t>Task Description</t>
  </si>
  <si>
    <t>Task Type</t>
  </si>
  <si>
    <t>Owner Name</t>
  </si>
  <si>
    <t>Dependency</t>
  </si>
  <si>
    <t>Status</t>
  </si>
  <si>
    <t>Priority</t>
  </si>
  <si>
    <t>Start Date</t>
  </si>
  <si>
    <t>Due Date</t>
  </si>
  <si>
    <t>Days Open</t>
  </si>
  <si>
    <t>Delay Status</t>
  </si>
  <si>
    <t>Blocker Reason</t>
  </si>
  <si>
    <t>Next Action</t>
  </si>
  <si>
    <t>Escalation Level</t>
  </si>
  <si>
    <t>Last Update</t>
  </si>
  <si>
    <t>T001</t>
  </si>
  <si>
    <t>Today</t>
  </si>
  <si>
    <t>Purchase</t>
  </si>
  <si>
    <t>Raw Material</t>
  </si>
  <si>
    <t>PO Approval Pending</t>
  </si>
  <si>
    <t>Unplanned</t>
  </si>
  <si>
    <t>Raj</t>
  </si>
  <si>
    <t>Finance Approval</t>
  </si>
  <si>
    <t>In Progress</t>
  </si>
  <si>
    <t>High</t>
  </si>
  <si>
    <t>Tomorrow</t>
  </si>
  <si>
    <t>Waiting For Approval</t>
  </si>
  <si>
    <t>Follow up with finance</t>
  </si>
  <si>
    <t>Level 2</t>
  </si>
  <si>
    <t>T002</t>
  </si>
  <si>
    <t>Quality</t>
  </si>
  <si>
    <t>OOS investigation</t>
  </si>
  <si>
    <t>Blocked</t>
  </si>
  <si>
    <t>Yesterday</t>
  </si>
  <si>
    <t>T003</t>
  </si>
  <si>
    <t>Maintenance</t>
  </si>
  <si>
    <t>Machine Repair</t>
  </si>
  <si>
    <t>Not Started</t>
  </si>
  <si>
    <t>Medium</t>
  </si>
  <si>
    <t>TOTAL TASKS</t>
  </si>
  <si>
    <t>OVERDUE TASKS</t>
  </si>
  <si>
    <t>BLOCKED TASKS</t>
  </si>
  <si>
    <t>UNPLANNED WORK</t>
  </si>
  <si>
    <t>Purchase Due</t>
  </si>
  <si>
    <t>Quality Overdue</t>
  </si>
  <si>
    <t>Maintenance Overdue</t>
  </si>
  <si>
    <t>Departments</t>
  </si>
  <si>
    <t>Planned</t>
  </si>
  <si>
    <t>Warehouse</t>
  </si>
  <si>
    <t>Routine</t>
  </si>
  <si>
    <t>Production</t>
  </si>
  <si>
    <t>Completed</t>
  </si>
  <si>
    <t>Escalated</t>
  </si>
  <si>
    <t>HR</t>
  </si>
  <si>
    <t>IT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</si>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</sst>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vs Overdue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DASHBOARD!$A$4:$A$6</c:f>
              <c:strCache>
                <c:ptCount val="3"/>
                <c:pt idx="0">
                  <c:v>Purchase Due</c:v>
                </c:pt>
                <c:pt idx="1">
                  <c:v>Quality Overdue</c:v>
                </c:pt>
                <c:pt idx="2">
                  <c:v>Maintenance Overdue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4-4A46-935F-1ABB1243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2440"/>
        <c:axId val="4244488"/>
      </c:barChart>
      <c:catAx>
        <c:axId val="4242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488"/>
        <c:crosses val="autoZero"/>
        <c:auto val="1"/>
        <c:lblAlgn val="ctr"/>
        <c:lblOffset val="100"/>
        <c:noMultiLvlLbl val="0"/>
      </c:catAx>
      <c:valAx>
        <c:axId val="4244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4</xdr:row>
      <xdr:rowOff>66675</xdr:rowOff>
    </xdr:from>
    <xdr:to>
      <xdr:col>9</xdr:col>
      <xdr:colOff>361950</xdr:colOff>
      <xdr:row>18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C864B3-8D10-E736-A8C8-2129ED0FB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C8643-B6B4-428E-9ED5-8ECB1CBB8685}" name="Table1" displayName="Table1" ref="A1:R4" totalsRowShown="0">
  <autoFilter ref="A1:R4" xr:uid="{EEEC8643-B6B4-428E-9ED5-8ECB1CBB8685}"/>
  <tableColumns count="18">
    <tableColumn id="1" xr3:uid="{3633E6BA-7CAD-4A89-A19E-3989E3A075B9}" name="Task ID"/>
    <tableColumn id="2" xr3:uid="{8E7A2DA5-4D1B-4FE5-990B-63F8DA986C1F}" name="Date Created"/>
    <tableColumn id="3" xr3:uid="{1CA5CF86-4183-44E1-9ACB-F216B038C0D9}" name="Department"/>
    <tableColumn id="4" xr3:uid="{8D07525D-7768-41F2-B2F0-0AF77E6AD440}" name="Process Area"/>
    <tableColumn id="5" xr3:uid="{192AC9F9-6F16-471D-A3AA-CF47C64029D4}" name="Task Description"/>
    <tableColumn id="6" xr3:uid="{8A0E975F-0569-4A5E-AA7C-968CC0ED5BB7}" name="Task Type"/>
    <tableColumn id="7" xr3:uid="{8CF3CE0F-4BA7-463A-B4C1-8FBA703C0F9D}" name="Owner Name"/>
    <tableColumn id="8" xr3:uid="{F2DCADE7-0C57-42B9-A796-68DB4F65416C}" name="Dependency"/>
    <tableColumn id="9" xr3:uid="{2424D38A-C9EE-49CC-BB51-0F5E1B9BD436}" name="Status"/>
    <tableColumn id="10" xr3:uid="{4F80C968-2CAC-4958-B869-7E79F1E84FDF}" name="Priority"/>
    <tableColumn id="11" xr3:uid="{3B4953EB-EF26-44B8-96D6-E4C777F68CDB}" name="Start Date"/>
    <tableColumn id="12" xr3:uid="{A1CCD24D-9CA0-4D15-91CF-2C9B67E1D2E5}" name="Due Date"/>
    <tableColumn id="13" xr3:uid="{E85518E4-EBFD-46A6-8834-18EF58D65214}" name="Days Open">
      <calculatedColumnFormula>TODAY()-K2</calculatedColumnFormula>
    </tableColumn>
    <tableColumn id="14" xr3:uid="{AE0B53CD-7135-44B1-BB48-6BDFC3B256CF}" name="Delay Status">
      <calculatedColumnFormula>IF(TODAY()&gt;L2,"OVERDUE","ON TRACK")</calculatedColumnFormula>
    </tableColumn>
    <tableColumn id="15" xr3:uid="{8E73C71D-198E-4ECE-A620-95F5F74920C4}" name="Blocker Reason"/>
    <tableColumn id="16" xr3:uid="{97FCDBE2-F52C-42D8-879A-6044A73B7292}" name="Next Action"/>
    <tableColumn id="17" xr3:uid="{DB65A9BC-A588-43F5-B9EF-41745B7D88EA}" name="Escalation Level"/>
    <tableColumn id="18" xr3:uid="{7193BEB3-8A14-4F72-8DD0-1031B614C80D}" name="Last Updat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defaultRowHeight="15"/>
  <cols>
    <col min="1" max="1" width="9.5703125" bestFit="1" customWidth="1"/>
    <col min="2" max="2" width="14.85546875" customWidth="1"/>
    <col min="3" max="3" width="14" customWidth="1"/>
    <col min="4" max="4" width="14.5703125" customWidth="1"/>
    <col min="5" max="5" width="18.5703125" customWidth="1"/>
    <col min="6" max="6" width="12" customWidth="1"/>
    <col min="7" max="7" width="15" customWidth="1"/>
    <col min="8" max="8" width="16.28515625" customWidth="1"/>
    <col min="9" max="9" width="10.5703125" customWidth="1"/>
    <col min="10" max="10" width="9.7109375" bestFit="1" customWidth="1"/>
    <col min="11" max="11" width="12.140625" customWidth="1"/>
    <col min="12" max="12" width="11.42578125" bestFit="1" customWidth="1"/>
    <col min="13" max="13" width="12.7109375" customWidth="1"/>
    <col min="14" max="14" width="14.28515625" customWidth="1"/>
    <col min="15" max="15" width="19.28515625" customWidth="1"/>
    <col min="16" max="16" width="20.42578125" customWidth="1"/>
    <col min="17" max="17" width="17.28515625" customWidth="1"/>
    <col min="18" max="18" width="13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19</v>
      </c>
      <c r="L2" t="s">
        <v>28</v>
      </c>
      <c r="M2" s="2" t="e">
        <f ca="1">TODAY()-K2</f>
        <v>#VALUE!</v>
      </c>
      <c r="N2" t="str">
        <f ca="1">IF(TODAY()&gt;L2,"OVERDUE","ON TRACK")</f>
        <v>ON TRACK</v>
      </c>
      <c r="O2" t="s">
        <v>29</v>
      </c>
      <c r="P2" t="s">
        <v>30</v>
      </c>
      <c r="Q2" t="s">
        <v>31</v>
      </c>
      <c r="R2" t="s">
        <v>19</v>
      </c>
    </row>
    <row r="3" spans="1:18">
      <c r="A3" t="s">
        <v>32</v>
      </c>
      <c r="C3" t="s">
        <v>33</v>
      </c>
      <c r="E3" t="s">
        <v>34</v>
      </c>
      <c r="I3" t="s">
        <v>35</v>
      </c>
      <c r="J3" t="s">
        <v>27</v>
      </c>
      <c r="L3" t="s">
        <v>36</v>
      </c>
      <c r="M3">
        <f ca="1">TODAY()-K3</f>
        <v>46177</v>
      </c>
      <c r="N3" t="str">
        <f ca="1">IF(TODAY()&gt;L3,"OVERDUE","ON TRACK")</f>
        <v>ON TRACK</v>
      </c>
    </row>
    <row r="4" spans="1:18">
      <c r="A4" t="s">
        <v>37</v>
      </c>
      <c r="C4" t="s">
        <v>38</v>
      </c>
      <c r="E4" t="s">
        <v>39</v>
      </c>
      <c r="I4" t="s">
        <v>40</v>
      </c>
      <c r="J4" t="s">
        <v>41</v>
      </c>
      <c r="L4" t="s">
        <v>19</v>
      </c>
      <c r="M4">
        <f ca="1">TODAY()-K4</f>
        <v>46177</v>
      </c>
      <c r="N4" t="str">
        <f ca="1">IF(TODAY()&gt;L4,"OVERDUE","ON TRACK")</f>
        <v>ON TRACK</v>
      </c>
    </row>
  </sheetData>
  <dataValidations count="4">
    <dataValidation type="list" allowBlank="1" showInputMessage="1" showErrorMessage="1" sqref="C1:C1048576" xr:uid="{224B15EC-F214-49BD-93E5-5D57DC311207}">
      <formula1>"Purchase,Warehouse,Quality,Production,Maintenance,HR,IT,R&amp;D"</formula1>
    </dataValidation>
    <dataValidation type="list" allowBlank="1" showInputMessage="1" showErrorMessage="1" sqref="I1:I1048576" xr:uid="{A4AA585C-7EA9-4EAC-A03D-40515F148F02}">
      <formula1>"Not Started,In Progress,Blocked,Completed,Escalated"</formula1>
    </dataValidation>
    <dataValidation type="list" allowBlank="1" showInputMessage="1" showErrorMessage="1" sqref="J1:J1048576" xr:uid="{6B8CE837-A833-4E11-8E83-723051E1D68C}">
      <formula1>"High,Medium,Low"</formula1>
    </dataValidation>
    <dataValidation type="list" allowBlank="1" showInputMessage="1" showErrorMessage="1" sqref="F1:F1048576" xr:uid="{2D4F3B77-B0F6-4E59-8E15-B204401718B6}">
      <formula1>"Planned,Unplanned,Routine"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8BBC-06B5-426E-B874-BD7A4AAFA957}">
  <dimension ref="A1:D6"/>
  <sheetViews>
    <sheetView workbookViewId="0">
      <selection activeCell="L14" sqref="L14"/>
    </sheetView>
  </sheetViews>
  <sheetFormatPr defaultRowHeight="15"/>
  <cols>
    <col min="1" max="1" width="20.28515625" customWidth="1"/>
    <col min="2" max="2" width="22.85546875" customWidth="1"/>
    <col min="3" max="3" width="20.7109375" customWidth="1"/>
    <col min="4" max="4" width="25.140625" customWidth="1"/>
  </cols>
  <sheetData>
    <row r="1" spans="1:4" ht="21">
      <c r="A1" s="1" t="s">
        <v>42</v>
      </c>
      <c r="B1" s="1" t="s">
        <v>43</v>
      </c>
      <c r="C1" s="1" t="s">
        <v>44</v>
      </c>
      <c r="D1" s="1" t="s">
        <v>45</v>
      </c>
    </row>
    <row r="2" spans="1:4">
      <c r="A2">
        <f>COUNTA(TASK_TRACKER!A:A)-1</f>
        <v>3</v>
      </c>
      <c r="B2">
        <f ca="1">COUNTIF(TASK_TRACKER!N:N,"OVERDUE")</f>
        <v>0</v>
      </c>
      <c r="C2">
        <f>COUNTIF(TASK_TRACKER!I:I,"Blocked")</f>
        <v>1</v>
      </c>
      <c r="D2">
        <f>COUNTIF(TASK_TRACKER!F:F,"Unplanned")</f>
        <v>1</v>
      </c>
    </row>
    <row r="4" spans="1:4">
      <c r="A4" t="s">
        <v>46</v>
      </c>
      <c r="B4">
        <f ca="1">COUNTIFS(TASK_TRACKER!C:C,"Purchase",TASK_TRACKER!N:N,"OVERDUE")</f>
        <v>0</v>
      </c>
    </row>
    <row r="5" spans="1:4">
      <c r="A5" t="s">
        <v>47</v>
      </c>
      <c r="B5">
        <f ca="1">COUNTIFS(TASK_TRACKER!C:C,"Quality",TASK_TRACKER!N:N,"OVERDUE")</f>
        <v>0</v>
      </c>
    </row>
    <row r="6" spans="1:4">
      <c r="A6" t="s">
        <v>48</v>
      </c>
      <c r="B6">
        <f ca="1">COUNTIFS(TASK_TRACKER!C:C,"Maintenance",TASK_TRACKER!N:N,"OVERDUE")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61E9-42C2-4D90-807E-4F65A1215470}">
  <dimension ref="A1:G9"/>
  <sheetViews>
    <sheetView tabSelected="1" workbookViewId="0">
      <selection activeCell="G2" sqref="G2:G4"/>
    </sheetView>
  </sheetViews>
  <sheetFormatPr defaultRowHeight="15"/>
  <cols>
    <col min="1" max="1" width="18" customWidth="1"/>
    <col min="3" max="3" width="11" customWidth="1"/>
    <col min="5" max="5" width="10.140625" customWidth="1"/>
    <col min="7" max="7" width="13.7109375" customWidth="1"/>
  </cols>
  <sheetData>
    <row r="1" spans="1:7" ht="21">
      <c r="A1" s="1" t="s">
        <v>49</v>
      </c>
      <c r="C1" s="1" t="s">
        <v>8</v>
      </c>
      <c r="E1" s="1" t="s">
        <v>9</v>
      </c>
      <c r="G1" s="1" t="s">
        <v>5</v>
      </c>
    </row>
    <row r="2" spans="1:7">
      <c r="A2" t="s">
        <v>20</v>
      </c>
      <c r="C2" t="s">
        <v>40</v>
      </c>
      <c r="G2" t="s">
        <v>50</v>
      </c>
    </row>
    <row r="3" spans="1:7">
      <c r="A3" t="s">
        <v>51</v>
      </c>
      <c r="C3" t="s">
        <v>26</v>
      </c>
      <c r="G3" t="s">
        <v>23</v>
      </c>
    </row>
    <row r="4" spans="1:7">
      <c r="A4" t="s">
        <v>33</v>
      </c>
      <c r="C4" t="s">
        <v>35</v>
      </c>
      <c r="G4" t="s">
        <v>52</v>
      </c>
    </row>
    <row r="5" spans="1:7">
      <c r="A5" t="s">
        <v>53</v>
      </c>
      <c r="C5" t="s">
        <v>54</v>
      </c>
    </row>
    <row r="6" spans="1:7">
      <c r="A6" t="s">
        <v>38</v>
      </c>
      <c r="C6" t="s">
        <v>55</v>
      </c>
    </row>
    <row r="7" spans="1:7">
      <c r="A7" t="s">
        <v>56</v>
      </c>
    </row>
    <row r="8" spans="1:7">
      <c r="A8" t="s">
        <v>57</v>
      </c>
    </row>
    <row r="9" spans="1:7">
      <c r="A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2026-06-04T13:47:00Z</dcterms:created>
  <dcterms:modified xsi:type="dcterms:W3CDTF">2026-06-04T14:40:16Z</dcterms:modified>
  <cp:category/>
  <cp:contentStatus/>
</cp:coreProperties>
</file>